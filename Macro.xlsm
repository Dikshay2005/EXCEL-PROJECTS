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BIJWASAN4\Documents\Diksha 11-12\"/>
    </mc:Choice>
  </mc:AlternateContent>
  <xr:revisionPtr revIDLastSave="0" documentId="8_{2263D40E-2AEA-405D-8EF4-DD89E9465A4C}" xr6:coauthVersionLast="47" xr6:coauthVersionMax="47" xr10:uidLastSave="{00000000-0000-0000-0000-000000000000}"/>
  <bookViews>
    <workbookView xWindow="-110" yWindow="-110" windowWidth="19420" windowHeight="10300" activeTab="3" xr2:uid="{38722A8D-F2C5-49FE-BE3D-EA70E077D600}"/>
  </bookViews>
  <sheets>
    <sheet name="Sheet1" sheetId="1" r:id="rId1"/>
    <sheet name="Sheet3" sheetId="3" r:id="rId2"/>
    <sheet name="Sheet4" sheetId="4" r:id="rId3"/>
    <sheet name="Sheet5" sheetId="5" r:id="rId4"/>
    <sheet name="Sheet2" sheetId="2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3" i="5" l="1"/>
  <c r="K5" i="5"/>
  <c r="K6" i="5"/>
  <c r="K7" i="5"/>
  <c r="K8" i="5"/>
  <c r="K9" i="5"/>
  <c r="K10" i="5"/>
  <c r="K11" i="5"/>
  <c r="K12" i="5"/>
  <c r="K4" i="5"/>
  <c r="J5" i="5"/>
  <c r="J6" i="5"/>
  <c r="J7" i="5"/>
  <c r="J8" i="5"/>
  <c r="J9" i="5"/>
  <c r="J10" i="5"/>
  <c r="J11" i="5"/>
  <c r="J12" i="5"/>
  <c r="J13" i="5"/>
  <c r="J4" i="5"/>
  <c r="K13" i="4"/>
  <c r="K5" i="4"/>
  <c r="K6" i="4"/>
  <c r="K7" i="4"/>
  <c r="K8" i="4"/>
  <c r="K9" i="4"/>
  <c r="K10" i="4"/>
  <c r="K11" i="4"/>
  <c r="K12" i="4"/>
  <c r="K4" i="4"/>
  <c r="J5" i="4"/>
  <c r="J6" i="4"/>
  <c r="J7" i="4"/>
  <c r="J8" i="4"/>
  <c r="J9" i="4"/>
  <c r="J10" i="4"/>
  <c r="J11" i="4"/>
  <c r="J12" i="4"/>
  <c r="J13" i="4"/>
  <c r="J4" i="4"/>
  <c r="K13" i="3"/>
  <c r="K5" i="3"/>
  <c r="K6" i="3"/>
  <c r="K7" i="3"/>
  <c r="K8" i="3"/>
  <c r="K9" i="3"/>
  <c r="K10" i="3"/>
  <c r="K11" i="3"/>
  <c r="K12" i="3"/>
  <c r="K4" i="3"/>
  <c r="J5" i="3"/>
  <c r="J6" i="3"/>
  <c r="J7" i="3"/>
  <c r="J8" i="3"/>
  <c r="J9" i="3"/>
  <c r="J10" i="3"/>
  <c r="J11" i="3"/>
  <c r="J12" i="3"/>
  <c r="J13" i="3"/>
  <c r="J4" i="3"/>
  <c r="I6" i="2"/>
  <c r="I7" i="2"/>
  <c r="I8" i="2"/>
  <c r="I9" i="2"/>
  <c r="I10" i="2"/>
  <c r="I11" i="2"/>
  <c r="I12" i="2"/>
  <c r="I13" i="2"/>
  <c r="I14" i="2"/>
  <c r="I5" i="2"/>
  <c r="H6" i="2"/>
  <c r="H7" i="2"/>
  <c r="H8" i="2"/>
  <c r="H9" i="2"/>
  <c r="H10" i="2"/>
  <c r="H11" i="2"/>
  <c r="H12" i="2"/>
  <c r="H13" i="2"/>
  <c r="H14" i="2"/>
  <c r="H5" i="2"/>
  <c r="I11" i="1"/>
  <c r="I13" i="1"/>
  <c r="H8" i="1"/>
  <c r="I8" i="1" s="1"/>
  <c r="H9" i="1"/>
  <c r="I9" i="1" s="1"/>
  <c r="H10" i="1"/>
  <c r="I10" i="1" s="1"/>
  <c r="H11" i="1"/>
  <c r="H12" i="1"/>
  <c r="I12" i="1" s="1"/>
  <c r="H13" i="1"/>
  <c r="H14" i="1"/>
  <c r="I14" i="1" s="1"/>
  <c r="H15" i="1"/>
  <c r="I15" i="1" s="1"/>
  <c r="H16" i="1"/>
  <c r="I16" i="1" s="1"/>
  <c r="H7" i="1"/>
  <c r="I7" i="1" s="1"/>
</calcChain>
</file>

<file path=xl/sharedStrings.xml><?xml version="1.0" encoding="utf-8"?>
<sst xmlns="http://schemas.openxmlformats.org/spreadsheetml/2006/main" count="97" uniqueCount="30">
  <si>
    <t>Rollno</t>
  </si>
  <si>
    <t xml:space="preserve">Name </t>
  </si>
  <si>
    <t>ARU</t>
  </si>
  <si>
    <t>CHARU</t>
  </si>
  <si>
    <t>PARU</t>
  </si>
  <si>
    <t>MARU</t>
  </si>
  <si>
    <t>JABA</t>
  </si>
  <si>
    <t>SADA</t>
  </si>
  <si>
    <t>KADA</t>
  </si>
  <si>
    <t>TYU</t>
  </si>
  <si>
    <t>PHU</t>
  </si>
  <si>
    <t>LANA</t>
  </si>
  <si>
    <t>Math</t>
  </si>
  <si>
    <t>English</t>
  </si>
  <si>
    <t>Science</t>
  </si>
  <si>
    <t>SST</t>
  </si>
  <si>
    <t>Computer</t>
  </si>
  <si>
    <t>Total</t>
  </si>
  <si>
    <t>Percentage</t>
  </si>
  <si>
    <t>School</t>
  </si>
  <si>
    <t>Class 9th</t>
  </si>
  <si>
    <t>Class 10th</t>
  </si>
  <si>
    <t>12th</t>
  </si>
  <si>
    <t>Hindi</t>
  </si>
  <si>
    <t>Name</t>
  </si>
  <si>
    <t>S. no.</t>
  </si>
  <si>
    <t>Class</t>
  </si>
  <si>
    <t>Marksheet</t>
  </si>
  <si>
    <t>10th</t>
  </si>
  <si>
    <t>MARKSHEET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</si>
</sst>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7999511703848384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Font="1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1" xfId="0" applyBorder="1"/>
    <xf numFmtId="0" fontId="0" fillId="4" borderId="1" xfId="0" applyFill="1" applyBorder="1"/>
    <xf numFmtId="0" fontId="5" fillId="2" borderId="2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0" fillId="4" borderId="5" xfId="0" applyFill="1" applyBorder="1"/>
    <xf numFmtId="1" fontId="0" fillId="4" borderId="6" xfId="0" applyNumberFormat="1" applyFill="1" applyBorder="1"/>
    <xf numFmtId="0" fontId="0" fillId="4" borderId="7" xfId="0" applyFill="1" applyBorder="1"/>
    <xf numFmtId="0" fontId="0" fillId="4" borderId="8" xfId="0" applyFill="1" applyBorder="1"/>
    <xf numFmtId="1" fontId="0" fillId="4" borderId="9" xfId="0" applyNumberFormat="1" applyFill="1" applyBorder="1"/>
    <xf numFmtId="0" fontId="5" fillId="2" borderId="7" xfId="0" applyFont="1" applyFill="1" applyBorder="1" applyAlignment="1">
      <alignment horizontal="center"/>
    </xf>
    <xf numFmtId="0" fontId="5" fillId="2" borderId="8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1" fillId="3" borderId="10" xfId="0" applyFont="1" applyFill="1" applyBorder="1"/>
    <xf numFmtId="0" fontId="1" fillId="3" borderId="11" xfId="0" applyFont="1" applyFill="1" applyBorder="1"/>
    <xf numFmtId="0" fontId="1" fillId="3" borderId="12" xfId="0" applyFont="1" applyFill="1" applyBorder="1"/>
    <xf numFmtId="0" fontId="0" fillId="6" borderId="1" xfId="0" applyFill="1" applyBorder="1"/>
    <xf numFmtId="0" fontId="0" fillId="6" borderId="5" xfId="0" applyFill="1" applyBorder="1"/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0" fillId="6" borderId="7" xfId="0" applyFill="1" applyBorder="1"/>
    <xf numFmtId="0" fontId="0" fillId="6" borderId="8" xfId="0" applyFill="1" applyBorder="1"/>
    <xf numFmtId="0" fontId="0" fillId="0" borderId="8" xfId="0" applyBorder="1"/>
    <xf numFmtId="0" fontId="5" fillId="5" borderId="4" xfId="0" applyFont="1" applyFill="1" applyBorder="1" applyAlignment="1">
      <alignment horizontal="center"/>
    </xf>
    <xf numFmtId="1" fontId="0" fillId="0" borderId="6" xfId="0" applyNumberFormat="1" applyBorder="1"/>
    <xf numFmtId="1" fontId="0" fillId="0" borderId="9" xfId="0" applyNumberFormat="1" applyBorder="1"/>
    <xf numFmtId="0" fontId="5" fillId="5" borderId="7" xfId="0" applyFont="1" applyFill="1" applyBorder="1" applyAlignment="1">
      <alignment horizontal="center"/>
    </xf>
    <xf numFmtId="0" fontId="5" fillId="5" borderId="8" xfId="0" applyFont="1" applyFill="1" applyBorder="1" applyAlignment="1">
      <alignment horizontal="center"/>
    </xf>
    <xf numFmtId="0" fontId="5" fillId="5" borderId="9" xfId="0" applyFont="1" applyFill="1" applyBorder="1" applyAlignment="1">
      <alignment horizontal="center"/>
    </xf>
    <xf numFmtId="1" fontId="0" fillId="6" borderId="6" xfId="0" applyNumberFormat="1" applyFill="1" applyBorder="1"/>
    <xf numFmtId="1" fontId="0" fillId="6" borderId="9" xfId="0" applyNumberFormat="1" applyFill="1" applyBorder="1"/>
  </cellXfs>
  <cellStyles count="1">
    <cellStyle name="Normal" xfId="0" builtinId="0"/>
  </cellStyles>
  <dxfs count="12"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ill>
        <patternFill>
          <fgColor indexed="64"/>
          <bgColor theme="9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ill>
        <patternFill>
          <fgColor indexed="64"/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C5CA5-41E9-4AE5-A58F-3E8DA8F11B0B}">
  <dimension ref="A1:R16"/>
  <sheetViews>
    <sheetView workbookViewId="0">
      <selection activeCell="A7" sqref="A7:A16"/>
    </sheetView>
  </sheetViews>
  <sheetFormatPr defaultRowHeight="14.5" x14ac:dyDescent="0.35"/>
  <cols>
    <col min="7" max="7" width="10.26953125" customWidth="1"/>
    <col min="9" max="9" width="10" customWidth="1"/>
  </cols>
  <sheetData>
    <row r="1" spans="1:18" x14ac:dyDescent="0.35">
      <c r="A1" s="3" t="s">
        <v>19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x14ac:dyDescent="0.3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x14ac:dyDescent="0.3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1:18" x14ac:dyDescent="0.35">
      <c r="A4" s="4" t="s">
        <v>20</v>
      </c>
      <c r="B4" s="2"/>
      <c r="C4" s="2"/>
      <c r="D4" s="2"/>
      <c r="E4" s="2"/>
      <c r="F4" s="2"/>
      <c r="G4" s="2"/>
      <c r="H4" s="2"/>
      <c r="I4" s="2"/>
      <c r="J4" s="4" t="s">
        <v>21</v>
      </c>
      <c r="K4" s="2"/>
      <c r="L4" s="2"/>
      <c r="M4" s="2"/>
      <c r="N4" s="2"/>
      <c r="O4" s="2"/>
      <c r="P4" s="2"/>
      <c r="Q4" s="2"/>
      <c r="R4" s="2"/>
    </row>
    <row r="5" spans="1:18" x14ac:dyDescent="0.3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x14ac:dyDescent="0.35">
      <c r="A6" t="s">
        <v>0</v>
      </c>
      <c r="B6" t="s">
        <v>1</v>
      </c>
      <c r="C6" t="s">
        <v>12</v>
      </c>
      <c r="D6" s="1" t="s">
        <v>13</v>
      </c>
      <c r="E6" t="s">
        <v>14</v>
      </c>
      <c r="F6" t="s">
        <v>15</v>
      </c>
      <c r="G6" s="1" t="s">
        <v>16</v>
      </c>
      <c r="H6" s="1" t="s">
        <v>17</v>
      </c>
      <c r="I6" s="1" t="s">
        <v>18</v>
      </c>
    </row>
    <row r="7" spans="1:18" x14ac:dyDescent="0.35">
      <c r="A7">
        <v>1</v>
      </c>
      <c r="B7" t="s">
        <v>2</v>
      </c>
      <c r="C7">
        <v>56</v>
      </c>
      <c r="D7">
        <v>57</v>
      </c>
      <c r="E7">
        <v>34</v>
      </c>
      <c r="F7">
        <v>27</v>
      </c>
      <c r="G7">
        <v>43</v>
      </c>
      <c r="H7">
        <f>SUM(C7:G7)</f>
        <v>217</v>
      </c>
      <c r="I7">
        <f>(100*H7)/500</f>
        <v>43.4</v>
      </c>
    </row>
    <row r="8" spans="1:18" x14ac:dyDescent="0.35">
      <c r="A8">
        <v>2</v>
      </c>
      <c r="B8" t="s">
        <v>3</v>
      </c>
      <c r="C8">
        <v>31</v>
      </c>
      <c r="D8">
        <v>80</v>
      </c>
      <c r="E8">
        <v>46</v>
      </c>
      <c r="F8">
        <v>74</v>
      </c>
      <c r="G8">
        <v>52</v>
      </c>
      <c r="H8">
        <f t="shared" ref="H8:H16" si="0">SUM(C8:G8)</f>
        <v>283</v>
      </c>
      <c r="I8">
        <f t="shared" ref="I8:I16" si="1">(100*H8)/500</f>
        <v>56.6</v>
      </c>
    </row>
    <row r="9" spans="1:18" x14ac:dyDescent="0.35">
      <c r="A9">
        <v>3</v>
      </c>
      <c r="B9" t="s">
        <v>4</v>
      </c>
      <c r="C9">
        <v>68</v>
      </c>
      <c r="D9">
        <v>83</v>
      </c>
      <c r="E9">
        <v>69</v>
      </c>
      <c r="F9">
        <v>59</v>
      </c>
      <c r="G9">
        <v>56</v>
      </c>
      <c r="H9">
        <f t="shared" si="0"/>
        <v>335</v>
      </c>
      <c r="I9">
        <f t="shared" si="1"/>
        <v>67</v>
      </c>
    </row>
    <row r="10" spans="1:18" x14ac:dyDescent="0.35">
      <c r="A10">
        <v>4</v>
      </c>
      <c r="B10" t="s">
        <v>5</v>
      </c>
      <c r="C10">
        <v>32</v>
      </c>
      <c r="D10">
        <v>31</v>
      </c>
      <c r="E10">
        <v>96</v>
      </c>
      <c r="F10">
        <v>29</v>
      </c>
      <c r="G10">
        <v>38</v>
      </c>
      <c r="H10">
        <f t="shared" si="0"/>
        <v>226</v>
      </c>
      <c r="I10">
        <f t="shared" si="1"/>
        <v>45.2</v>
      </c>
    </row>
    <row r="11" spans="1:18" x14ac:dyDescent="0.35">
      <c r="A11">
        <v>5</v>
      </c>
      <c r="B11" t="s">
        <v>6</v>
      </c>
      <c r="C11">
        <v>29</v>
      </c>
      <c r="D11">
        <v>27</v>
      </c>
      <c r="E11">
        <v>85</v>
      </c>
      <c r="F11">
        <v>78</v>
      </c>
      <c r="G11">
        <v>31</v>
      </c>
      <c r="H11">
        <f t="shared" si="0"/>
        <v>250</v>
      </c>
      <c r="I11">
        <f t="shared" si="1"/>
        <v>50</v>
      </c>
    </row>
    <row r="12" spans="1:18" x14ac:dyDescent="0.35">
      <c r="A12">
        <v>6</v>
      </c>
      <c r="B12" t="s">
        <v>7</v>
      </c>
      <c r="C12">
        <v>87</v>
      </c>
      <c r="D12">
        <v>59</v>
      </c>
      <c r="E12">
        <v>77</v>
      </c>
      <c r="F12">
        <v>94</v>
      </c>
      <c r="G12">
        <v>91</v>
      </c>
      <c r="H12">
        <f t="shared" si="0"/>
        <v>408</v>
      </c>
      <c r="I12">
        <f t="shared" si="1"/>
        <v>81.599999999999994</v>
      </c>
    </row>
    <row r="13" spans="1:18" x14ac:dyDescent="0.35">
      <c r="A13">
        <v>7</v>
      </c>
      <c r="B13" t="s">
        <v>8</v>
      </c>
      <c r="C13">
        <v>96</v>
      </c>
      <c r="D13">
        <v>32</v>
      </c>
      <c r="E13">
        <v>28</v>
      </c>
      <c r="F13">
        <v>86</v>
      </c>
      <c r="G13">
        <v>83</v>
      </c>
      <c r="H13">
        <f t="shared" si="0"/>
        <v>325</v>
      </c>
      <c r="I13">
        <f t="shared" si="1"/>
        <v>65</v>
      </c>
    </row>
    <row r="14" spans="1:18" x14ac:dyDescent="0.35">
      <c r="A14">
        <v>8</v>
      </c>
      <c r="B14" t="s">
        <v>9</v>
      </c>
      <c r="C14">
        <v>31</v>
      </c>
      <c r="D14">
        <v>80</v>
      </c>
      <c r="E14">
        <v>63</v>
      </c>
      <c r="F14">
        <v>35</v>
      </c>
      <c r="G14">
        <v>45</v>
      </c>
      <c r="H14">
        <f t="shared" si="0"/>
        <v>254</v>
      </c>
      <c r="I14">
        <f t="shared" si="1"/>
        <v>50.8</v>
      </c>
    </row>
    <row r="15" spans="1:18" x14ac:dyDescent="0.35">
      <c r="A15">
        <v>9</v>
      </c>
      <c r="B15" t="s">
        <v>10</v>
      </c>
      <c r="C15">
        <v>27</v>
      </c>
      <c r="D15">
        <v>50</v>
      </c>
      <c r="E15">
        <v>64</v>
      </c>
      <c r="F15">
        <v>41</v>
      </c>
      <c r="G15">
        <v>80</v>
      </c>
      <c r="H15">
        <f t="shared" si="0"/>
        <v>262</v>
      </c>
      <c r="I15">
        <f t="shared" si="1"/>
        <v>52.4</v>
      </c>
    </row>
    <row r="16" spans="1:18" x14ac:dyDescent="0.35">
      <c r="A16">
        <v>10</v>
      </c>
      <c r="B16" t="s">
        <v>11</v>
      </c>
      <c r="C16">
        <v>73</v>
      </c>
      <c r="D16">
        <v>66</v>
      </c>
      <c r="E16">
        <v>34</v>
      </c>
      <c r="F16">
        <v>75</v>
      </c>
      <c r="G16">
        <v>80</v>
      </c>
      <c r="H16">
        <f t="shared" si="0"/>
        <v>328</v>
      </c>
      <c r="I16">
        <f t="shared" si="1"/>
        <v>65.599999999999994</v>
      </c>
    </row>
  </sheetData>
  <mergeCells count="3">
    <mergeCell ref="A1:R3"/>
    <mergeCell ref="A4:I5"/>
    <mergeCell ref="J4:R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7C14F-8BC4-4DF9-9DA7-AB2707C4E4B9}">
  <dimension ref="A1:K16"/>
  <sheetViews>
    <sheetView workbookViewId="0">
      <selection activeCell="N10" sqref="N10"/>
    </sheetView>
  </sheetViews>
  <sheetFormatPr defaultRowHeight="14.5" x14ac:dyDescent="0.35"/>
  <cols>
    <col min="11" max="11" width="9.81640625" customWidth="1"/>
  </cols>
  <sheetData>
    <row r="1" spans="1:11" x14ac:dyDescent="0.35">
      <c r="A1" s="7" t="s">
        <v>27</v>
      </c>
      <c r="B1" s="8"/>
      <c r="C1" s="8"/>
      <c r="D1" s="8"/>
      <c r="E1" s="8"/>
      <c r="F1" s="8"/>
      <c r="G1" s="8"/>
      <c r="H1" s="8"/>
      <c r="I1" s="8"/>
      <c r="J1" s="8"/>
      <c r="K1" s="9"/>
    </row>
    <row r="2" spans="1:11" ht="15" thickBot="1" x14ac:dyDescent="0.4">
      <c r="A2" s="15"/>
      <c r="B2" s="16"/>
      <c r="C2" s="16"/>
      <c r="D2" s="16"/>
      <c r="E2" s="16"/>
      <c r="F2" s="16"/>
      <c r="G2" s="16"/>
      <c r="H2" s="16"/>
      <c r="I2" s="16"/>
      <c r="J2" s="16"/>
      <c r="K2" s="17"/>
    </row>
    <row r="3" spans="1:11" x14ac:dyDescent="0.35">
      <c r="A3" s="18" t="s">
        <v>25</v>
      </c>
      <c r="B3" s="19" t="s">
        <v>24</v>
      </c>
      <c r="C3" s="19" t="s">
        <v>26</v>
      </c>
      <c r="D3" s="19" t="s">
        <v>12</v>
      </c>
      <c r="E3" s="19" t="s">
        <v>13</v>
      </c>
      <c r="F3" s="19" t="s">
        <v>14</v>
      </c>
      <c r="G3" s="19" t="s">
        <v>15</v>
      </c>
      <c r="H3" s="19" t="s">
        <v>16</v>
      </c>
      <c r="I3" s="19" t="s">
        <v>23</v>
      </c>
      <c r="J3" s="19" t="s">
        <v>17</v>
      </c>
      <c r="K3" s="20" t="s">
        <v>18</v>
      </c>
    </row>
    <row r="4" spans="1:11" x14ac:dyDescent="0.35">
      <c r="A4" s="10">
        <v>1</v>
      </c>
      <c r="B4" s="6" t="s">
        <v>2</v>
      </c>
      <c r="C4" s="6" t="s">
        <v>22</v>
      </c>
      <c r="D4" s="6">
        <v>24</v>
      </c>
      <c r="E4" s="6">
        <v>42</v>
      </c>
      <c r="F4" s="6">
        <v>44</v>
      </c>
      <c r="G4" s="6">
        <v>26</v>
      </c>
      <c r="H4" s="6">
        <v>36</v>
      </c>
      <c r="I4" s="6">
        <v>25</v>
      </c>
      <c r="J4" s="6">
        <f>SUM(D4:I4)</f>
        <v>197</v>
      </c>
      <c r="K4" s="11">
        <f>(100*J4)/600</f>
        <v>32.833333333333336</v>
      </c>
    </row>
    <row r="5" spans="1:11" x14ac:dyDescent="0.35">
      <c r="A5" s="10">
        <v>2</v>
      </c>
      <c r="B5" s="6" t="s">
        <v>3</v>
      </c>
      <c r="C5" s="6" t="s">
        <v>22</v>
      </c>
      <c r="D5" s="6">
        <v>44</v>
      </c>
      <c r="E5" s="6">
        <v>44</v>
      </c>
      <c r="F5" s="6">
        <v>56</v>
      </c>
      <c r="G5" s="6">
        <v>58</v>
      </c>
      <c r="H5" s="6">
        <v>35</v>
      </c>
      <c r="I5" s="6">
        <v>29</v>
      </c>
      <c r="J5" s="6">
        <f t="shared" ref="J5:J13" si="0">SUM(D5:I5)</f>
        <v>266</v>
      </c>
      <c r="K5" s="11">
        <f t="shared" ref="K5:K12" si="1">(100*J5)/600</f>
        <v>44.333333333333336</v>
      </c>
    </row>
    <row r="6" spans="1:11" x14ac:dyDescent="0.35">
      <c r="A6" s="10">
        <v>3</v>
      </c>
      <c r="B6" s="6" t="s">
        <v>4</v>
      </c>
      <c r="C6" s="6" t="s">
        <v>22</v>
      </c>
      <c r="D6" s="6">
        <v>61</v>
      </c>
      <c r="E6" s="6">
        <v>44</v>
      </c>
      <c r="F6" s="6">
        <v>61</v>
      </c>
      <c r="G6" s="6">
        <v>43</v>
      </c>
      <c r="H6" s="6">
        <v>32</v>
      </c>
      <c r="I6" s="6">
        <v>63</v>
      </c>
      <c r="J6" s="6">
        <f t="shared" si="0"/>
        <v>304</v>
      </c>
      <c r="K6" s="11">
        <f t="shared" si="1"/>
        <v>50.666666666666664</v>
      </c>
    </row>
    <row r="7" spans="1:11" x14ac:dyDescent="0.35">
      <c r="A7" s="10">
        <v>4</v>
      </c>
      <c r="B7" s="6" t="s">
        <v>5</v>
      </c>
      <c r="C7" s="6" t="s">
        <v>22</v>
      </c>
      <c r="D7" s="6">
        <v>33</v>
      </c>
      <c r="E7" s="6">
        <v>32</v>
      </c>
      <c r="F7" s="6">
        <v>36</v>
      </c>
      <c r="G7" s="6">
        <v>65</v>
      </c>
      <c r="H7" s="6">
        <v>56</v>
      </c>
      <c r="I7" s="6">
        <v>24</v>
      </c>
      <c r="J7" s="6">
        <f t="shared" si="0"/>
        <v>246</v>
      </c>
      <c r="K7" s="11">
        <f t="shared" si="1"/>
        <v>41</v>
      </c>
    </row>
    <row r="8" spans="1:11" x14ac:dyDescent="0.35">
      <c r="A8" s="10">
        <v>5</v>
      </c>
      <c r="B8" s="6" t="s">
        <v>6</v>
      </c>
      <c r="C8" s="6" t="s">
        <v>22</v>
      </c>
      <c r="D8" s="6">
        <v>47</v>
      </c>
      <c r="E8" s="6">
        <v>45</v>
      </c>
      <c r="F8" s="6">
        <v>57</v>
      </c>
      <c r="G8" s="6">
        <v>56</v>
      </c>
      <c r="H8" s="6">
        <v>26</v>
      </c>
      <c r="I8" s="6">
        <v>64</v>
      </c>
      <c r="J8" s="6">
        <f t="shared" si="0"/>
        <v>295</v>
      </c>
      <c r="K8" s="11">
        <f t="shared" si="1"/>
        <v>49.166666666666664</v>
      </c>
    </row>
    <row r="9" spans="1:11" x14ac:dyDescent="0.35">
      <c r="A9" s="10">
        <v>6</v>
      </c>
      <c r="B9" s="6" t="s">
        <v>7</v>
      </c>
      <c r="C9" s="6" t="s">
        <v>22</v>
      </c>
      <c r="D9" s="6">
        <v>62</v>
      </c>
      <c r="E9" s="6">
        <v>30</v>
      </c>
      <c r="F9" s="6">
        <v>52</v>
      </c>
      <c r="G9" s="6">
        <v>45</v>
      </c>
      <c r="H9" s="6">
        <v>31</v>
      </c>
      <c r="I9" s="6">
        <v>41</v>
      </c>
      <c r="J9" s="6">
        <f t="shared" si="0"/>
        <v>261</v>
      </c>
      <c r="K9" s="11">
        <f t="shared" si="1"/>
        <v>43.5</v>
      </c>
    </row>
    <row r="10" spans="1:11" x14ac:dyDescent="0.35">
      <c r="A10" s="10">
        <v>7</v>
      </c>
      <c r="B10" s="6" t="s">
        <v>8</v>
      </c>
      <c r="C10" s="6" t="s">
        <v>22</v>
      </c>
      <c r="D10" s="6">
        <v>57</v>
      </c>
      <c r="E10" s="6">
        <v>57</v>
      </c>
      <c r="F10" s="6">
        <v>51</v>
      </c>
      <c r="G10" s="6">
        <v>32</v>
      </c>
      <c r="H10" s="6">
        <v>45</v>
      </c>
      <c r="I10" s="6">
        <v>44</v>
      </c>
      <c r="J10" s="6">
        <f t="shared" si="0"/>
        <v>286</v>
      </c>
      <c r="K10" s="11">
        <f t="shared" si="1"/>
        <v>47.666666666666664</v>
      </c>
    </row>
    <row r="11" spans="1:11" x14ac:dyDescent="0.35">
      <c r="A11" s="10">
        <v>8</v>
      </c>
      <c r="B11" s="6" t="s">
        <v>9</v>
      </c>
      <c r="C11" s="6" t="s">
        <v>22</v>
      </c>
      <c r="D11" s="6">
        <v>60</v>
      </c>
      <c r="E11" s="6">
        <v>61</v>
      </c>
      <c r="F11" s="6">
        <v>28</v>
      </c>
      <c r="G11" s="6">
        <v>57</v>
      </c>
      <c r="H11" s="6">
        <v>58</v>
      </c>
      <c r="I11" s="6">
        <v>50</v>
      </c>
      <c r="J11" s="6">
        <f t="shared" si="0"/>
        <v>314</v>
      </c>
      <c r="K11" s="11">
        <f t="shared" si="1"/>
        <v>52.333333333333336</v>
      </c>
    </row>
    <row r="12" spans="1:11" x14ac:dyDescent="0.35">
      <c r="A12" s="10">
        <v>9</v>
      </c>
      <c r="B12" s="6" t="s">
        <v>10</v>
      </c>
      <c r="C12" s="6" t="s">
        <v>22</v>
      </c>
      <c r="D12" s="6">
        <v>24</v>
      </c>
      <c r="E12" s="6">
        <v>56</v>
      </c>
      <c r="F12" s="6">
        <v>39</v>
      </c>
      <c r="G12" s="6">
        <v>56</v>
      </c>
      <c r="H12" s="6">
        <v>46</v>
      </c>
      <c r="I12" s="6">
        <v>42</v>
      </c>
      <c r="J12" s="6">
        <f t="shared" si="0"/>
        <v>263</v>
      </c>
      <c r="K12" s="11">
        <f t="shared" si="1"/>
        <v>43.833333333333336</v>
      </c>
    </row>
    <row r="13" spans="1:11" ht="15" thickBot="1" x14ac:dyDescent="0.4">
      <c r="A13" s="12">
        <v>10</v>
      </c>
      <c r="B13" s="13" t="s">
        <v>11</v>
      </c>
      <c r="C13" s="13" t="s">
        <v>22</v>
      </c>
      <c r="D13" s="13">
        <v>37</v>
      </c>
      <c r="E13" s="13">
        <v>65</v>
      </c>
      <c r="F13" s="13">
        <v>40</v>
      </c>
      <c r="G13" s="13">
        <v>57</v>
      </c>
      <c r="H13" s="13">
        <v>67</v>
      </c>
      <c r="I13" s="13">
        <v>42</v>
      </c>
      <c r="J13" s="13">
        <f t="shared" si="0"/>
        <v>308</v>
      </c>
      <c r="K13" s="14">
        <f>(100*J13)/600</f>
        <v>51.333333333333336</v>
      </c>
    </row>
    <row r="16" spans="1:11" x14ac:dyDescent="0.35">
      <c r="D16" s="5"/>
    </row>
  </sheetData>
  <mergeCells count="1">
    <mergeCell ref="A1:K2"/>
  </mergeCells>
  <phoneticPr fontId="4" type="noConversion"/>
  <conditionalFormatting sqref="D4:D13">
    <cfRule type="top10" dxfId="11" priority="5" bottom="1" rank="3"/>
  </conditionalFormatting>
  <conditionalFormatting sqref="E4:E13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{434D1547-3D27-4151-965D-D114CB95D005}</x14:id>
        </ext>
      </extLst>
    </cfRule>
  </conditionalFormatting>
  <conditionalFormatting sqref="J4:J13">
    <cfRule type="top10" dxfId="10" priority="3" rank="3"/>
  </conditionalFormatting>
  <conditionalFormatting sqref="K4:K13">
    <cfRule type="cellIs" dxfId="9" priority="2" operator="lessThan">
      <formula>40</formula>
    </cfRule>
  </conditionalFormatting>
  <conditionalFormatting sqref="G4:G13">
    <cfRule type="cellIs" dxfId="8" priority="1" operator="greaterThan">
      <formula>45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4D1547-3D27-4151-965D-D114CB95D0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E4:E13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4A629-2EFB-4249-96E6-6BF500D3367C}">
  <dimension ref="A1:K16"/>
  <sheetViews>
    <sheetView workbookViewId="0">
      <selection activeCell="G17" sqref="G17"/>
    </sheetView>
  </sheetViews>
  <sheetFormatPr defaultRowHeight="14.5" x14ac:dyDescent="0.35"/>
  <cols>
    <col min="11" max="11" width="9.81640625" customWidth="1"/>
  </cols>
  <sheetData>
    <row r="1" spans="1:11" x14ac:dyDescent="0.35">
      <c r="A1" s="23"/>
      <c r="B1" s="24"/>
      <c r="C1" s="24"/>
      <c r="D1" s="24"/>
      <c r="E1" s="24"/>
      <c r="F1" s="24"/>
      <c r="G1" s="24"/>
      <c r="H1" s="24"/>
      <c r="I1" s="24"/>
      <c r="J1" s="24"/>
      <c r="K1" s="28"/>
    </row>
    <row r="2" spans="1:11" ht="15" thickBot="1" x14ac:dyDescent="0.4">
      <c r="A2" s="31"/>
      <c r="B2" s="32"/>
      <c r="C2" s="32"/>
      <c r="D2" s="32"/>
      <c r="E2" s="32"/>
      <c r="F2" s="32"/>
      <c r="G2" s="32"/>
      <c r="H2" s="32"/>
      <c r="I2" s="32"/>
      <c r="J2" s="32"/>
      <c r="K2" s="33"/>
    </row>
    <row r="3" spans="1:11" x14ac:dyDescent="0.35">
      <c r="A3" s="18" t="s">
        <v>25</v>
      </c>
      <c r="B3" s="19" t="s">
        <v>24</v>
      </c>
      <c r="C3" s="19" t="s">
        <v>26</v>
      </c>
      <c r="D3" s="19" t="s">
        <v>12</v>
      </c>
      <c r="E3" s="19" t="s">
        <v>13</v>
      </c>
      <c r="F3" s="19" t="s">
        <v>14</v>
      </c>
      <c r="G3" s="19" t="s">
        <v>15</v>
      </c>
      <c r="H3" s="19" t="s">
        <v>16</v>
      </c>
      <c r="I3" s="19" t="s">
        <v>23</v>
      </c>
      <c r="J3" s="19" t="s">
        <v>17</v>
      </c>
      <c r="K3" s="20" t="s">
        <v>18</v>
      </c>
    </row>
    <row r="4" spans="1:11" x14ac:dyDescent="0.35">
      <c r="A4" s="22">
        <v>1</v>
      </c>
      <c r="B4" s="21"/>
      <c r="C4" s="21"/>
      <c r="D4" s="21">
        <v>37</v>
      </c>
      <c r="E4" s="5">
        <v>47</v>
      </c>
      <c r="F4" s="5">
        <v>28</v>
      </c>
      <c r="G4" s="5">
        <v>32</v>
      </c>
      <c r="H4" s="5">
        <v>38</v>
      </c>
      <c r="I4" s="5">
        <v>67</v>
      </c>
      <c r="J4" s="5">
        <f>SUM(D4:I4)</f>
        <v>249</v>
      </c>
      <c r="K4" s="29">
        <f>(100*J4)/600</f>
        <v>41.5</v>
      </c>
    </row>
    <row r="5" spans="1:11" x14ac:dyDescent="0.35">
      <c r="A5" s="22">
        <v>2</v>
      </c>
      <c r="B5" s="21"/>
      <c r="C5" s="21"/>
      <c r="D5" s="21">
        <v>39</v>
      </c>
      <c r="E5" s="5">
        <v>62</v>
      </c>
      <c r="F5" s="5">
        <v>28</v>
      </c>
      <c r="G5" s="5">
        <v>28</v>
      </c>
      <c r="H5" s="5">
        <v>43</v>
      </c>
      <c r="I5" s="5">
        <v>52</v>
      </c>
      <c r="J5" s="5">
        <f t="shared" ref="J5:J13" si="0">SUM(D5:I5)</f>
        <v>252</v>
      </c>
      <c r="K5" s="29">
        <f t="shared" ref="K5:K12" si="1">(100*J5)/600</f>
        <v>42</v>
      </c>
    </row>
    <row r="6" spans="1:11" x14ac:dyDescent="0.35">
      <c r="A6" s="22">
        <v>3</v>
      </c>
      <c r="B6" s="21"/>
      <c r="C6" s="21"/>
      <c r="D6" s="21">
        <v>45</v>
      </c>
      <c r="E6" s="5">
        <v>36</v>
      </c>
      <c r="F6" s="5">
        <v>48</v>
      </c>
      <c r="G6" s="5">
        <v>50</v>
      </c>
      <c r="H6" s="5">
        <v>24</v>
      </c>
      <c r="I6" s="5">
        <v>26</v>
      </c>
      <c r="J6" s="5">
        <f t="shared" si="0"/>
        <v>229</v>
      </c>
      <c r="K6" s="29">
        <f t="shared" si="1"/>
        <v>38.166666666666664</v>
      </c>
    </row>
    <row r="7" spans="1:11" x14ac:dyDescent="0.35">
      <c r="A7" s="22">
        <v>4</v>
      </c>
      <c r="B7" s="21"/>
      <c r="C7" s="21"/>
      <c r="D7" s="21">
        <v>54</v>
      </c>
      <c r="E7" s="5">
        <v>40</v>
      </c>
      <c r="F7" s="5">
        <v>26</v>
      </c>
      <c r="G7" s="5">
        <v>61</v>
      </c>
      <c r="H7" s="5">
        <v>55</v>
      </c>
      <c r="I7" s="5">
        <v>56</v>
      </c>
      <c r="J7" s="5">
        <f t="shared" si="0"/>
        <v>292</v>
      </c>
      <c r="K7" s="29">
        <f t="shared" si="1"/>
        <v>48.666666666666664</v>
      </c>
    </row>
    <row r="8" spans="1:11" x14ac:dyDescent="0.35">
      <c r="A8" s="22">
        <v>5</v>
      </c>
      <c r="B8" s="21"/>
      <c r="C8" s="21"/>
      <c r="D8" s="21">
        <v>28</v>
      </c>
      <c r="E8" s="5">
        <v>55</v>
      </c>
      <c r="F8" s="5">
        <v>56</v>
      </c>
      <c r="G8" s="5">
        <v>31</v>
      </c>
      <c r="H8" s="5">
        <v>42</v>
      </c>
      <c r="I8" s="5">
        <v>40</v>
      </c>
      <c r="J8" s="5">
        <f t="shared" si="0"/>
        <v>252</v>
      </c>
      <c r="K8" s="29">
        <f t="shared" si="1"/>
        <v>42</v>
      </c>
    </row>
    <row r="9" spans="1:11" x14ac:dyDescent="0.35">
      <c r="A9" s="22">
        <v>6</v>
      </c>
      <c r="B9" s="21"/>
      <c r="C9" s="21"/>
      <c r="D9" s="21">
        <v>39</v>
      </c>
      <c r="E9" s="5">
        <v>42</v>
      </c>
      <c r="F9" s="5">
        <v>49</v>
      </c>
      <c r="G9" s="5">
        <v>39</v>
      </c>
      <c r="H9" s="5">
        <v>43</v>
      </c>
      <c r="I9" s="5">
        <v>55</v>
      </c>
      <c r="J9" s="5">
        <f t="shared" si="0"/>
        <v>267</v>
      </c>
      <c r="K9" s="29">
        <f t="shared" si="1"/>
        <v>44.5</v>
      </c>
    </row>
    <row r="10" spans="1:11" x14ac:dyDescent="0.35">
      <c r="A10" s="22">
        <v>7</v>
      </c>
      <c r="B10" s="21"/>
      <c r="C10" s="21"/>
      <c r="D10" s="21">
        <v>58</v>
      </c>
      <c r="E10" s="5">
        <v>29</v>
      </c>
      <c r="F10" s="5">
        <v>29</v>
      </c>
      <c r="G10" s="5">
        <v>24</v>
      </c>
      <c r="H10" s="5">
        <v>35</v>
      </c>
      <c r="I10" s="5">
        <v>41</v>
      </c>
      <c r="J10" s="5">
        <f t="shared" si="0"/>
        <v>216</v>
      </c>
      <c r="K10" s="29">
        <f t="shared" si="1"/>
        <v>36</v>
      </c>
    </row>
    <row r="11" spans="1:11" x14ac:dyDescent="0.35">
      <c r="A11" s="22">
        <v>8</v>
      </c>
      <c r="B11" s="21"/>
      <c r="C11" s="21"/>
      <c r="D11" s="21">
        <v>54</v>
      </c>
      <c r="E11" s="5">
        <v>25</v>
      </c>
      <c r="F11" s="5">
        <v>30</v>
      </c>
      <c r="G11" s="5">
        <v>63</v>
      </c>
      <c r="H11" s="5">
        <v>38</v>
      </c>
      <c r="I11" s="5">
        <v>48</v>
      </c>
      <c r="J11" s="5">
        <f t="shared" si="0"/>
        <v>258</v>
      </c>
      <c r="K11" s="29">
        <f t="shared" si="1"/>
        <v>43</v>
      </c>
    </row>
    <row r="12" spans="1:11" x14ac:dyDescent="0.35">
      <c r="A12" s="22">
        <v>9</v>
      </c>
      <c r="B12" s="21"/>
      <c r="C12" s="21"/>
      <c r="D12" s="21">
        <v>43</v>
      </c>
      <c r="E12" s="5">
        <v>34</v>
      </c>
      <c r="F12" s="5">
        <v>25</v>
      </c>
      <c r="G12" s="5">
        <v>52</v>
      </c>
      <c r="H12" s="5">
        <v>34</v>
      </c>
      <c r="I12" s="5">
        <v>62</v>
      </c>
      <c r="J12" s="5">
        <f t="shared" si="0"/>
        <v>250</v>
      </c>
      <c r="K12" s="29">
        <f t="shared" si="1"/>
        <v>41.666666666666664</v>
      </c>
    </row>
    <row r="13" spans="1:11" ht="15" thickBot="1" x14ac:dyDescent="0.4">
      <c r="A13" s="25">
        <v>10</v>
      </c>
      <c r="B13" s="26"/>
      <c r="C13" s="26"/>
      <c r="D13" s="26">
        <v>28</v>
      </c>
      <c r="E13" s="27">
        <v>53</v>
      </c>
      <c r="F13" s="27">
        <v>32</v>
      </c>
      <c r="G13" s="27">
        <v>52</v>
      </c>
      <c r="H13" s="27">
        <v>64</v>
      </c>
      <c r="I13" s="27">
        <v>64</v>
      </c>
      <c r="J13" s="27">
        <f t="shared" si="0"/>
        <v>293</v>
      </c>
      <c r="K13" s="30">
        <f>(100*J13)/600</f>
        <v>48.833333333333336</v>
      </c>
    </row>
    <row r="16" spans="1:11" x14ac:dyDescent="0.35">
      <c r="D16" s="5"/>
    </row>
  </sheetData>
  <mergeCells count="1">
    <mergeCell ref="A1:K2"/>
  </mergeCells>
  <conditionalFormatting sqref="D4:D13">
    <cfRule type="top10" dxfId="7" priority="5" bottom="1" rank="3"/>
  </conditionalFormatting>
  <conditionalFormatting sqref="E4:E13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{6B2657CF-212C-4610-B8F3-C5288B73D36B}</x14:id>
        </ext>
      </extLst>
    </cfRule>
  </conditionalFormatting>
  <conditionalFormatting sqref="J4:J13">
    <cfRule type="top10" dxfId="6" priority="3" rank="3"/>
  </conditionalFormatting>
  <conditionalFormatting sqref="K4:K13">
    <cfRule type="cellIs" dxfId="5" priority="2" operator="lessThan">
      <formula>40</formula>
    </cfRule>
  </conditionalFormatting>
  <conditionalFormatting sqref="G4:G13">
    <cfRule type="cellIs" dxfId="4" priority="1" operator="greaterThan">
      <formula>45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B2657CF-212C-4610-B8F3-C5288B73D36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E4:E13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35239-6255-4C07-83F5-12270314421D}">
  <dimension ref="A1:K16"/>
  <sheetViews>
    <sheetView tabSelected="1" workbookViewId="0">
      <selection activeCell="N7" sqref="N7"/>
    </sheetView>
  </sheetViews>
  <sheetFormatPr defaultRowHeight="14.5" x14ac:dyDescent="0.35"/>
  <cols>
    <col min="11" max="11" width="9.81640625" customWidth="1"/>
  </cols>
  <sheetData>
    <row r="1" spans="1:11" x14ac:dyDescent="0.35">
      <c r="A1" s="23" t="s">
        <v>29</v>
      </c>
      <c r="B1" s="24"/>
      <c r="C1" s="24"/>
      <c r="D1" s="24"/>
      <c r="E1" s="24"/>
      <c r="F1" s="24"/>
      <c r="G1" s="24"/>
      <c r="H1" s="24"/>
      <c r="I1" s="24"/>
      <c r="J1" s="24"/>
      <c r="K1" s="28"/>
    </row>
    <row r="2" spans="1:11" ht="15" thickBot="1" x14ac:dyDescent="0.4">
      <c r="A2" s="31"/>
      <c r="B2" s="32"/>
      <c r="C2" s="32"/>
      <c r="D2" s="32"/>
      <c r="E2" s="32"/>
      <c r="F2" s="32"/>
      <c r="G2" s="32"/>
      <c r="H2" s="32"/>
      <c r="I2" s="32"/>
      <c r="J2" s="32"/>
      <c r="K2" s="33"/>
    </row>
    <row r="3" spans="1:11" x14ac:dyDescent="0.35">
      <c r="A3" s="18" t="s">
        <v>25</v>
      </c>
      <c r="B3" s="19" t="s">
        <v>24</v>
      </c>
      <c r="C3" s="19" t="s">
        <v>26</v>
      </c>
      <c r="D3" s="19" t="s">
        <v>12</v>
      </c>
      <c r="E3" s="19" t="s">
        <v>13</v>
      </c>
      <c r="F3" s="19" t="s">
        <v>14</v>
      </c>
      <c r="G3" s="19" t="s">
        <v>15</v>
      </c>
      <c r="H3" s="19" t="s">
        <v>16</v>
      </c>
      <c r="I3" s="19" t="s">
        <v>23</v>
      </c>
      <c r="J3" s="19" t="s">
        <v>17</v>
      </c>
      <c r="K3" s="20" t="s">
        <v>18</v>
      </c>
    </row>
    <row r="4" spans="1:11" x14ac:dyDescent="0.35">
      <c r="A4" s="22">
        <v>1</v>
      </c>
      <c r="B4" s="21" t="s">
        <v>2</v>
      </c>
      <c r="C4" s="21" t="s">
        <v>28</v>
      </c>
      <c r="D4" s="21">
        <v>66</v>
      </c>
      <c r="E4" s="21">
        <v>60</v>
      </c>
      <c r="F4" s="21">
        <v>28</v>
      </c>
      <c r="G4" s="21">
        <v>61</v>
      </c>
      <c r="H4" s="21">
        <v>63</v>
      </c>
      <c r="I4" s="21">
        <v>45</v>
      </c>
      <c r="J4" s="21">
        <f>SUM(D4:I4)</f>
        <v>323</v>
      </c>
      <c r="K4" s="34">
        <f>(100*J4)/600</f>
        <v>53.833333333333336</v>
      </c>
    </row>
    <row r="5" spans="1:11" x14ac:dyDescent="0.35">
      <c r="A5" s="22">
        <v>2</v>
      </c>
      <c r="B5" s="21" t="s">
        <v>3</v>
      </c>
      <c r="C5" s="21" t="s">
        <v>28</v>
      </c>
      <c r="D5" s="21">
        <v>43</v>
      </c>
      <c r="E5" s="21">
        <v>46</v>
      </c>
      <c r="F5" s="21">
        <v>64</v>
      </c>
      <c r="G5" s="21">
        <v>51</v>
      </c>
      <c r="H5" s="21">
        <v>39</v>
      </c>
      <c r="I5" s="21">
        <v>46</v>
      </c>
      <c r="J5" s="21">
        <f t="shared" ref="J5:J13" si="0">SUM(D5:I5)</f>
        <v>289</v>
      </c>
      <c r="K5" s="34">
        <f t="shared" ref="K5:K12" si="1">(100*J5)/600</f>
        <v>48.166666666666664</v>
      </c>
    </row>
    <row r="6" spans="1:11" x14ac:dyDescent="0.35">
      <c r="A6" s="22">
        <v>3</v>
      </c>
      <c r="B6" s="21" t="s">
        <v>4</v>
      </c>
      <c r="C6" s="21" t="s">
        <v>28</v>
      </c>
      <c r="D6" s="21">
        <v>43</v>
      </c>
      <c r="E6" s="21">
        <v>36</v>
      </c>
      <c r="F6" s="21">
        <v>65</v>
      </c>
      <c r="G6" s="21">
        <v>52</v>
      </c>
      <c r="H6" s="21">
        <v>60</v>
      </c>
      <c r="I6" s="21">
        <v>53</v>
      </c>
      <c r="J6" s="21">
        <f t="shared" si="0"/>
        <v>309</v>
      </c>
      <c r="K6" s="34">
        <f t="shared" si="1"/>
        <v>51.5</v>
      </c>
    </row>
    <row r="7" spans="1:11" x14ac:dyDescent="0.35">
      <c r="A7" s="22">
        <v>4</v>
      </c>
      <c r="B7" s="21" t="s">
        <v>5</v>
      </c>
      <c r="C7" s="21" t="s">
        <v>28</v>
      </c>
      <c r="D7" s="21">
        <v>64</v>
      </c>
      <c r="E7" s="21">
        <v>45</v>
      </c>
      <c r="F7" s="21">
        <v>53</v>
      </c>
      <c r="G7" s="21">
        <v>54</v>
      </c>
      <c r="H7" s="21">
        <v>32</v>
      </c>
      <c r="I7" s="21">
        <v>53</v>
      </c>
      <c r="J7" s="21">
        <f t="shared" si="0"/>
        <v>301</v>
      </c>
      <c r="K7" s="34">
        <f t="shared" si="1"/>
        <v>50.166666666666664</v>
      </c>
    </row>
    <row r="8" spans="1:11" x14ac:dyDescent="0.35">
      <c r="A8" s="22">
        <v>5</v>
      </c>
      <c r="B8" s="21" t="s">
        <v>6</v>
      </c>
      <c r="C8" s="21" t="s">
        <v>28</v>
      </c>
      <c r="D8" s="21">
        <v>28</v>
      </c>
      <c r="E8" s="21">
        <v>51</v>
      </c>
      <c r="F8" s="21">
        <v>42</v>
      </c>
      <c r="G8" s="21">
        <v>24</v>
      </c>
      <c r="H8" s="21">
        <v>49</v>
      </c>
      <c r="I8" s="21">
        <v>36</v>
      </c>
      <c r="J8" s="21">
        <f t="shared" si="0"/>
        <v>230</v>
      </c>
      <c r="K8" s="34">
        <f t="shared" si="1"/>
        <v>38.333333333333336</v>
      </c>
    </row>
    <row r="9" spans="1:11" x14ac:dyDescent="0.35">
      <c r="A9" s="22">
        <v>6</v>
      </c>
      <c r="B9" s="21" t="s">
        <v>7</v>
      </c>
      <c r="C9" s="21" t="s">
        <v>28</v>
      </c>
      <c r="D9" s="21">
        <v>50</v>
      </c>
      <c r="E9" s="21">
        <v>37</v>
      </c>
      <c r="F9" s="21">
        <v>37</v>
      </c>
      <c r="G9" s="21">
        <v>40</v>
      </c>
      <c r="H9" s="21">
        <v>34</v>
      </c>
      <c r="I9" s="21">
        <v>54</v>
      </c>
      <c r="J9" s="21">
        <f t="shared" si="0"/>
        <v>252</v>
      </c>
      <c r="K9" s="34">
        <f t="shared" si="1"/>
        <v>42</v>
      </c>
    </row>
    <row r="10" spans="1:11" x14ac:dyDescent="0.35">
      <c r="A10" s="22">
        <v>7</v>
      </c>
      <c r="B10" s="21" t="s">
        <v>8</v>
      </c>
      <c r="C10" s="21" t="s">
        <v>28</v>
      </c>
      <c r="D10" s="21">
        <v>29</v>
      </c>
      <c r="E10" s="21">
        <v>61</v>
      </c>
      <c r="F10" s="21">
        <v>26</v>
      </c>
      <c r="G10" s="21">
        <v>51</v>
      </c>
      <c r="H10" s="21">
        <v>59</v>
      </c>
      <c r="I10" s="21">
        <v>32</v>
      </c>
      <c r="J10" s="21">
        <f t="shared" si="0"/>
        <v>258</v>
      </c>
      <c r="K10" s="34">
        <f t="shared" si="1"/>
        <v>43</v>
      </c>
    </row>
    <row r="11" spans="1:11" x14ac:dyDescent="0.35">
      <c r="A11" s="22">
        <v>8</v>
      </c>
      <c r="B11" s="21" t="s">
        <v>9</v>
      </c>
      <c r="C11" s="21" t="s">
        <v>28</v>
      </c>
      <c r="D11" s="21">
        <v>63</v>
      </c>
      <c r="E11" s="21">
        <v>28</v>
      </c>
      <c r="F11" s="21">
        <v>36</v>
      </c>
      <c r="G11" s="21">
        <v>54</v>
      </c>
      <c r="H11" s="21">
        <v>57</v>
      </c>
      <c r="I11" s="21">
        <v>38</v>
      </c>
      <c r="J11" s="21">
        <f t="shared" si="0"/>
        <v>276</v>
      </c>
      <c r="K11" s="34">
        <f t="shared" si="1"/>
        <v>46</v>
      </c>
    </row>
    <row r="12" spans="1:11" x14ac:dyDescent="0.35">
      <c r="A12" s="22">
        <v>9</v>
      </c>
      <c r="B12" s="21" t="s">
        <v>10</v>
      </c>
      <c r="C12" s="21" t="s">
        <v>28</v>
      </c>
      <c r="D12" s="21">
        <v>31</v>
      </c>
      <c r="E12" s="21">
        <v>62</v>
      </c>
      <c r="F12" s="21">
        <v>26</v>
      </c>
      <c r="G12" s="21">
        <v>47</v>
      </c>
      <c r="H12" s="21">
        <v>41</v>
      </c>
      <c r="I12" s="21">
        <v>64</v>
      </c>
      <c r="J12" s="21">
        <f t="shared" si="0"/>
        <v>271</v>
      </c>
      <c r="K12" s="34">
        <f t="shared" si="1"/>
        <v>45.166666666666664</v>
      </c>
    </row>
    <row r="13" spans="1:11" ht="15" thickBot="1" x14ac:dyDescent="0.4">
      <c r="A13" s="25">
        <v>10</v>
      </c>
      <c r="B13" s="26" t="s">
        <v>11</v>
      </c>
      <c r="C13" s="26" t="s">
        <v>28</v>
      </c>
      <c r="D13" s="26">
        <v>57</v>
      </c>
      <c r="E13" s="26">
        <v>30</v>
      </c>
      <c r="F13" s="26">
        <v>51</v>
      </c>
      <c r="G13" s="26">
        <v>26</v>
      </c>
      <c r="H13" s="26">
        <v>41</v>
      </c>
      <c r="I13" s="26">
        <v>66</v>
      </c>
      <c r="J13" s="26">
        <f t="shared" si="0"/>
        <v>271</v>
      </c>
      <c r="K13" s="35">
        <f>(100*J13)/600</f>
        <v>45.166666666666664</v>
      </c>
    </row>
    <row r="16" spans="1:11" x14ac:dyDescent="0.35">
      <c r="D16" s="5"/>
    </row>
  </sheetData>
  <mergeCells count="1">
    <mergeCell ref="A1:K2"/>
  </mergeCells>
  <phoneticPr fontId="4" type="noConversion"/>
  <conditionalFormatting sqref="D4:D13">
    <cfRule type="top10" dxfId="3" priority="5" bottom="1" rank="3"/>
  </conditionalFormatting>
  <conditionalFormatting sqref="E4:E13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{8ECD06B6-56EB-4046-9804-436470B0E846}</x14:id>
        </ext>
      </extLst>
    </cfRule>
  </conditionalFormatting>
  <conditionalFormatting sqref="J4:J13">
    <cfRule type="top10" dxfId="2" priority="3" rank="3"/>
  </conditionalFormatting>
  <conditionalFormatting sqref="K4:K13">
    <cfRule type="cellIs" dxfId="1" priority="2" operator="lessThan">
      <formula>40</formula>
    </cfRule>
  </conditionalFormatting>
  <conditionalFormatting sqref="G4:G13">
    <cfRule type="cellIs" dxfId="0" priority="1" operator="greaterThan">
      <formula>45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ECD06B6-56EB-4046-9804-436470B0E84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E4:E13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E4E1DC-7181-4869-B342-1B579E7CDA60}">
  <dimension ref="C5:I14"/>
  <sheetViews>
    <sheetView workbookViewId="0">
      <selection activeCell="I5" sqref="I5:I14"/>
    </sheetView>
  </sheetViews>
  <sheetFormatPr defaultRowHeight="14.5" x14ac:dyDescent="0.35"/>
  <sheetData>
    <row r="5" spans="3:9" x14ac:dyDescent="0.35">
      <c r="C5">
        <v>48</v>
      </c>
      <c r="D5">
        <v>43</v>
      </c>
      <c r="E5">
        <v>29</v>
      </c>
      <c r="F5">
        <v>30</v>
      </c>
      <c r="G5">
        <v>54</v>
      </c>
      <c r="H5">
        <f>SUM(C5:G5)</f>
        <v>204</v>
      </c>
      <c r="I5">
        <f>(100*H5)/500</f>
        <v>40.799999999999997</v>
      </c>
    </row>
    <row r="6" spans="3:9" x14ac:dyDescent="0.35">
      <c r="C6">
        <v>68</v>
      </c>
      <c r="D6">
        <v>57</v>
      </c>
      <c r="E6">
        <v>78</v>
      </c>
      <c r="F6">
        <v>39</v>
      </c>
      <c r="G6">
        <v>40</v>
      </c>
      <c r="H6">
        <f t="shared" ref="H6:H14" si="0">SUM(C6:G6)</f>
        <v>282</v>
      </c>
      <c r="I6">
        <f t="shared" ref="I6:I14" si="1">(100*H6)/500</f>
        <v>56.4</v>
      </c>
    </row>
    <row r="7" spans="3:9" x14ac:dyDescent="0.35">
      <c r="C7">
        <v>50</v>
      </c>
      <c r="D7">
        <v>46</v>
      </c>
      <c r="E7">
        <v>29</v>
      </c>
      <c r="F7">
        <v>29</v>
      </c>
      <c r="G7">
        <v>88</v>
      </c>
      <c r="H7">
        <f t="shared" si="0"/>
        <v>242</v>
      </c>
      <c r="I7">
        <f t="shared" si="1"/>
        <v>48.4</v>
      </c>
    </row>
    <row r="8" spans="3:9" x14ac:dyDescent="0.35">
      <c r="C8">
        <v>62</v>
      </c>
      <c r="D8">
        <v>66</v>
      </c>
      <c r="E8">
        <v>96</v>
      </c>
      <c r="F8">
        <v>87</v>
      </c>
      <c r="G8">
        <v>42</v>
      </c>
      <c r="H8">
        <f t="shared" si="0"/>
        <v>353</v>
      </c>
      <c r="I8">
        <f t="shared" si="1"/>
        <v>70.599999999999994</v>
      </c>
    </row>
    <row r="9" spans="3:9" x14ac:dyDescent="0.35">
      <c r="C9">
        <v>80</v>
      </c>
      <c r="D9">
        <v>48</v>
      </c>
      <c r="E9">
        <v>58</v>
      </c>
      <c r="F9">
        <v>39</v>
      </c>
      <c r="G9">
        <v>59</v>
      </c>
      <c r="H9">
        <f t="shared" si="0"/>
        <v>284</v>
      </c>
      <c r="I9">
        <f t="shared" si="1"/>
        <v>56.8</v>
      </c>
    </row>
    <row r="10" spans="3:9" x14ac:dyDescent="0.35">
      <c r="C10">
        <v>27</v>
      </c>
      <c r="D10">
        <v>75</v>
      </c>
      <c r="E10">
        <v>66</v>
      </c>
      <c r="F10">
        <v>94</v>
      </c>
      <c r="G10">
        <v>76</v>
      </c>
      <c r="H10">
        <f t="shared" si="0"/>
        <v>338</v>
      </c>
      <c r="I10">
        <f t="shared" si="1"/>
        <v>67.599999999999994</v>
      </c>
    </row>
    <row r="11" spans="3:9" x14ac:dyDescent="0.35">
      <c r="C11">
        <v>77</v>
      </c>
      <c r="D11">
        <v>93</v>
      </c>
      <c r="E11">
        <v>48</v>
      </c>
      <c r="F11">
        <v>61</v>
      </c>
      <c r="G11">
        <v>65</v>
      </c>
      <c r="H11">
        <f t="shared" si="0"/>
        <v>344</v>
      </c>
      <c r="I11">
        <f t="shared" si="1"/>
        <v>68.8</v>
      </c>
    </row>
    <row r="12" spans="3:9" x14ac:dyDescent="0.35">
      <c r="C12">
        <v>38</v>
      </c>
      <c r="D12">
        <v>53</v>
      </c>
      <c r="E12">
        <v>64</v>
      </c>
      <c r="F12">
        <v>73</v>
      </c>
      <c r="G12">
        <v>51</v>
      </c>
      <c r="H12">
        <f t="shared" si="0"/>
        <v>279</v>
      </c>
      <c r="I12">
        <f t="shared" si="1"/>
        <v>55.8</v>
      </c>
    </row>
    <row r="13" spans="3:9" x14ac:dyDescent="0.35">
      <c r="C13">
        <v>54</v>
      </c>
      <c r="D13">
        <v>26</v>
      </c>
      <c r="E13">
        <v>26</v>
      </c>
      <c r="F13">
        <v>45</v>
      </c>
      <c r="G13">
        <v>33</v>
      </c>
      <c r="H13">
        <f t="shared" si="0"/>
        <v>184</v>
      </c>
      <c r="I13">
        <f t="shared" si="1"/>
        <v>36.799999999999997</v>
      </c>
    </row>
    <row r="14" spans="3:9" x14ac:dyDescent="0.35">
      <c r="C14">
        <v>89</v>
      </c>
      <c r="D14">
        <v>42</v>
      </c>
      <c r="E14">
        <v>83</v>
      </c>
      <c r="F14">
        <v>69</v>
      </c>
      <c r="G14">
        <v>56</v>
      </c>
      <c r="H14">
        <f t="shared" si="0"/>
        <v>339</v>
      </c>
      <c r="I14">
        <f t="shared" si="1"/>
        <v>67.8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Sheet3</vt:lpstr>
      <vt:lpstr>Sheet4</vt:lpstr>
      <vt:lpstr>Sheet5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BIJWASAN4</dc:creator>
  <cp:lastModifiedBy>BIJWASAN4</cp:lastModifiedBy>
  <dcterms:created xsi:type="dcterms:W3CDTF">2025-01-13T07:18:16Z</dcterms:created>
  <dcterms:modified xsi:type="dcterms:W3CDTF">2025-01-13T07:55:27Z</dcterms:modified>
</cp:coreProperties>
</file>